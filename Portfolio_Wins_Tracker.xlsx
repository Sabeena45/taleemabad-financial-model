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1F2937"/>
      <sz val="20"/>
    </font>
    <font>
      <i val="1"/>
      <color rgb="006B7280"/>
      <sz val="10"/>
    </font>
    <font>
      <b val="1"/>
      <sz val="14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10B981"/>
        <bgColor rgb="0010B981"/>
      </patternFill>
    </fill>
    <fill>
      <patternFill patternType="solid">
        <fgColor rgb="003B82F6"/>
        <bgColor rgb="003B82F6"/>
      </patternFill>
    </fill>
    <fill>
      <patternFill patternType="solid">
        <fgColor rgb="00F59E0B"/>
        <bgColor rgb="00F59E0B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6" fillId="0" borderId="0" pivotButton="0" quotePrefix="0" xfId="0"/>
    <xf numFmtId="9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Progress by Category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'Dashboard'!$A$7:$A$9</f>
            </numRef>
          </cat>
          <val>
            <numRef>
              <f>'Dashboard'!$B$7:$B$9</f>
            </numRef>
          </val>
        </ser>
        <ser>
          <idx val="1"/>
          <order val="1"/>
          <tx>
            <strRef>
              <f>'Dashboard'!C6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'Dashboard'!$A$7:$A$9</f>
            </numRef>
          </cat>
          <val>
            <numRef>
              <f>'Dashboard'!$C$7:$C$9</f>
            </numRef>
          </val>
        </ser>
        <ser>
          <idx val="2"/>
          <order val="2"/>
          <tx>
            <strRef>
              <f>'Dashboard'!D6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'Dashboard'!$A$7:$A$9</f>
            </numRef>
          </cat>
          <val>
            <numRef>
              <f>'Dashboard'!$D$7:$D$9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0" customWidth="1" min="4" max="4"/>
    <col width="12" customWidth="1" min="5" max="5"/>
    <col width="30" customWidth="1" min="6" max="6"/>
    <col width="40" customWidth="1" min="7" max="7"/>
    <col width="12" customWidth="1" min="8" max="8"/>
  </cols>
  <sheetData>
    <row r="1" ht="25" customHeight="1">
      <c r="A1" s="1" t="inlineStr">
        <is>
          <t>Category</t>
        </is>
      </c>
      <c r="B1" s="1" t="inlineStr">
        <is>
          <t>Win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Target</t>
        </is>
      </c>
      <c r="F1" s="1" t="inlineStr">
        <is>
          <t>Evidence</t>
        </is>
      </c>
      <c r="G1" s="1" t="inlineStr">
        <is>
          <t>Notes</t>
        </is>
      </c>
      <c r="H1" s="1" t="inlineStr">
        <is>
          <t>Updated</t>
        </is>
      </c>
    </row>
    <row r="2" ht="35" customHeight="1">
      <c r="A2" s="2" t="inlineStr">
        <is>
          <t>FUNDRAISING</t>
        </is>
      </c>
      <c r="B2" s="3" t="inlineStr">
        <is>
          <t>Anchor funder secured</t>
        </is>
      </c>
      <c r="C2" s="4" t="inlineStr">
        <is>
          <t>Not Started</t>
        </is>
      </c>
      <c r="D2" s="4" t="inlineStr">
        <is>
          <t>High</t>
        </is>
      </c>
      <c r="E2" s="5" t="inlineStr"/>
      <c r="F2" s="5" t="inlineStr"/>
      <c r="G2" s="3" t="inlineStr">
        <is>
          <t>Multi-year partner who funds the model, not an activity</t>
        </is>
      </c>
      <c r="H2" s="5" t="inlineStr"/>
    </row>
    <row r="3" ht="35" customHeight="1">
      <c r="A3" s="2" t="inlineStr">
        <is>
          <t>FUNDRAISING</t>
        </is>
      </c>
      <c r="B3" s="3" t="inlineStr">
        <is>
          <t>Cost per child story locked</t>
        </is>
      </c>
      <c r="C3" s="4" t="inlineStr">
        <is>
          <t>Not Started</t>
        </is>
      </c>
      <c r="D3" s="4" t="inlineStr">
        <is>
          <t>High</t>
        </is>
      </c>
      <c r="E3" s="5" t="inlineStr"/>
      <c r="F3" s="5" t="inlineStr"/>
      <c r="G3" s="3" t="inlineStr">
        <is>
          <t>A number you can say in one breath, with proof, that goes down over time</t>
        </is>
      </c>
      <c r="H3" s="5" t="inlineStr"/>
    </row>
    <row r="4" ht="35" customHeight="1">
      <c r="A4" s="2" t="inlineStr">
        <is>
          <t>FUNDRAISING</t>
        </is>
      </c>
      <c r="B4" s="3" t="inlineStr">
        <is>
          <t>Pipeline not panic</t>
        </is>
      </c>
      <c r="C4" s="4" t="inlineStr">
        <is>
          <t>Not Started</t>
        </is>
      </c>
      <c r="D4" s="4" t="inlineStr">
        <is>
          <t>High</t>
        </is>
      </c>
      <c r="E4" s="5" t="inlineStr"/>
      <c r="F4" s="5" t="inlineStr"/>
      <c r="G4" s="3" t="inlineStr">
        <is>
          <t>6-9 months of confirmed or near-confirmed runway visible</t>
        </is>
      </c>
      <c r="H4" s="5" t="inlineStr"/>
    </row>
    <row r="5" ht="35" customHeight="1">
      <c r="A5" s="2" t="inlineStr">
        <is>
          <t>FUNDRAISING</t>
        </is>
      </c>
      <c r="B5" s="3" t="inlineStr">
        <is>
          <t>Inbound interest</t>
        </is>
      </c>
      <c r="C5" s="4" t="inlineStr">
        <is>
          <t>Not Started</t>
        </is>
      </c>
      <c r="D5" s="4" t="inlineStr">
        <is>
          <t>Medium</t>
        </is>
      </c>
      <c r="E5" s="5" t="inlineStr"/>
      <c r="F5" s="5" t="inlineStr"/>
      <c r="G5" s="3" t="inlineStr">
        <is>
          <t>At least 2 serious funders or networks reaching out to you</t>
        </is>
      </c>
      <c r="H5" s="5" t="inlineStr"/>
    </row>
    <row r="6" ht="35" customHeight="1">
      <c r="A6" s="2" t="inlineStr">
        <is>
          <t>FUNDRAISING</t>
        </is>
      </c>
      <c r="B6" s="3" t="inlineStr">
        <is>
          <t>Flagship narrative deck</t>
        </is>
      </c>
      <c r="C6" s="4" t="inlineStr">
        <is>
          <t>Not Started</t>
        </is>
      </c>
      <c r="D6" s="4" t="inlineStr">
        <is>
          <t>High</t>
        </is>
      </c>
      <c r="E6" s="5" t="inlineStr"/>
      <c r="F6" s="5" t="inlineStr"/>
      <c r="G6" s="3" t="inlineStr">
        <is>
          <t>The Taleemabad story - tight, data-led, reusable everywhere</t>
        </is>
      </c>
      <c r="H6" s="5" t="inlineStr"/>
    </row>
    <row r="8" ht="35" customHeight="1">
      <c r="A8" s="6" t="inlineStr">
        <is>
          <t>POLICY</t>
        </is>
      </c>
      <c r="B8" s="3" t="inlineStr">
        <is>
          <t>Government repeats your language</t>
        </is>
      </c>
      <c r="C8" s="4" t="inlineStr">
        <is>
          <t>Not Started</t>
        </is>
      </c>
      <c r="D8" s="4" t="inlineStr">
        <is>
          <t>High</t>
        </is>
      </c>
      <c r="E8" s="5" t="inlineStr"/>
      <c r="F8" s="5" t="inlineStr"/>
      <c r="G8" s="3" t="inlineStr">
        <is>
          <t>They say 'AI coaching', 'fidelity', 'continuous observation' - your concepts</t>
        </is>
      </c>
      <c r="H8" s="5" t="inlineStr"/>
    </row>
    <row r="9" ht="35" customHeight="1">
      <c r="A9" s="6" t="inlineStr">
        <is>
          <t>POLICY</t>
        </is>
      </c>
      <c r="B9" s="3" t="inlineStr">
        <is>
          <t>Model in government plan</t>
        </is>
      </c>
      <c r="C9" s="4" t="inlineStr">
        <is>
          <t>Not Started</t>
        </is>
      </c>
      <c r="D9" s="4" t="inlineStr">
        <is>
          <t>High</t>
        </is>
      </c>
      <c r="E9" s="5" t="inlineStr"/>
      <c r="F9" s="5" t="inlineStr"/>
      <c r="G9" s="3" t="inlineStr">
        <is>
          <t>Written into a plan or notification - system language, not pilot talk</t>
        </is>
      </c>
      <c r="H9" s="5" t="inlineStr"/>
    </row>
    <row r="10" ht="35" customHeight="1">
      <c r="A10" s="6" t="inlineStr">
        <is>
          <t>POLICY</t>
        </is>
      </c>
      <c r="B10" s="3" t="inlineStr">
        <is>
          <t>Invited to policy tables</t>
        </is>
      </c>
      <c r="C10" s="4" t="inlineStr">
        <is>
          <t>Not Started</t>
        </is>
      </c>
      <c r="D10" s="4" t="inlineStr">
        <is>
          <t>Medium</t>
        </is>
      </c>
      <c r="E10" s="5" t="inlineStr"/>
      <c r="F10" s="5" t="inlineStr"/>
      <c r="G10" s="3" t="inlineStr">
        <is>
          <t>Advisory roles, working groups, consultations - not pitching for them</t>
        </is>
      </c>
      <c r="H10" s="5" t="inlineStr"/>
    </row>
    <row r="11" ht="35" customHeight="1">
      <c r="A11" s="6" t="inlineStr">
        <is>
          <t>POLICY</t>
        </is>
      </c>
      <c r="B11" s="3" t="inlineStr">
        <is>
          <t>Project → System shift</t>
        </is>
      </c>
      <c r="C11" s="4" t="inlineStr">
        <is>
          <t>Not Started</t>
        </is>
      </c>
      <c r="D11" s="4" t="inlineStr">
        <is>
          <t>Medium</t>
        </is>
      </c>
      <c r="E11" s="5" t="inlineStr"/>
      <c r="F11" s="5" t="inlineStr"/>
      <c r="G11" s="3" t="inlineStr">
        <is>
          <t>Conversations move from 'your program' to 'how the system should work'</t>
        </is>
      </c>
      <c r="H11" s="5" t="inlineStr"/>
    </row>
    <row r="12" ht="35" customHeight="1">
      <c r="A12" s="6" t="inlineStr">
        <is>
          <t>POLICY</t>
        </is>
      </c>
      <c r="B12" s="3" t="inlineStr">
        <is>
          <t>Senior champion inside</t>
        </is>
      </c>
      <c r="C12" s="4" t="inlineStr">
        <is>
          <t>Not Started</t>
        </is>
      </c>
      <c r="D12" s="4" t="inlineStr">
        <is>
          <t>High</t>
        </is>
      </c>
      <c r="E12" s="5" t="inlineStr"/>
      <c r="F12" s="5" t="inlineStr"/>
      <c r="G12" s="3" t="inlineStr">
        <is>
          <t>Someone who defends the model when you're not in the room</t>
        </is>
      </c>
      <c r="H12" s="5" t="inlineStr"/>
    </row>
    <row r="14" ht="35" customHeight="1">
      <c r="A14" s="7" t="inlineStr">
        <is>
          <t>IMPACT</t>
        </is>
      </c>
      <c r="B14" s="3" t="inlineStr">
        <is>
          <t>Clean learning result</t>
        </is>
      </c>
      <c r="C14" s="4" t="inlineStr">
        <is>
          <t>Not Started</t>
        </is>
      </c>
      <c r="D14" s="4" t="inlineStr">
        <is>
          <t>High</t>
        </is>
      </c>
      <c r="E14" s="5" t="inlineStr"/>
      <c r="F14" s="5" t="inlineStr"/>
      <c r="G14" s="3" t="inlineStr">
        <is>
          <t>One undeniable number that survives scrutiny</t>
        </is>
      </c>
      <c r="H14" s="5" t="inlineStr"/>
    </row>
    <row r="15" ht="35" customHeight="1">
      <c r="A15" s="7" t="inlineStr">
        <is>
          <t>IMPACT</t>
        </is>
      </c>
      <c r="B15" s="3" t="inlineStr">
        <is>
          <t>Fidelity drives decisions</t>
        </is>
      </c>
      <c r="C15" s="4" t="inlineStr">
        <is>
          <t>Not Started</t>
        </is>
      </c>
      <c r="D15" s="4" t="inlineStr">
        <is>
          <t>Medium</t>
        </is>
      </c>
      <c r="E15" s="5" t="inlineStr"/>
      <c r="F15" s="5" t="inlineStr"/>
      <c r="G15" s="3" t="inlineStr">
        <is>
          <t>Teams change behavior because of dashboards, not opinions</t>
        </is>
      </c>
      <c r="H15" s="5" t="inlineStr"/>
    </row>
    <row r="16" ht="35" customHeight="1">
      <c r="A16" s="7" t="inlineStr">
        <is>
          <t>IMPACT</t>
        </is>
      </c>
      <c r="B16" s="3" t="inlineStr">
        <is>
          <t>Predictive capability</t>
        </is>
      </c>
      <c r="C16" s="4" t="inlineStr">
        <is>
          <t>Not Started</t>
        </is>
      </c>
      <c r="D16" s="4" t="inlineStr">
        <is>
          <t>Medium</t>
        </is>
      </c>
      <c r="E16" s="5" t="inlineStr"/>
      <c r="F16" s="5" t="inlineStr"/>
      <c r="G16" s="3" t="inlineStr">
        <is>
          <t>'If X teachers use it this way, we expect Y improvement'</t>
        </is>
      </c>
      <c r="H16" s="5" t="inlineStr"/>
    </row>
    <row r="17" ht="35" customHeight="1">
      <c r="A17" s="7" t="inlineStr">
        <is>
          <t>IMPACT</t>
        </is>
      </c>
      <c r="B17" s="3" t="inlineStr">
        <is>
          <t>External validation</t>
        </is>
      </c>
      <c r="C17" s="4" t="inlineStr">
        <is>
          <t>Not Started</t>
        </is>
      </c>
      <c r="D17" s="4" t="inlineStr">
        <is>
          <t>High</t>
        </is>
      </c>
      <c r="E17" s="5" t="inlineStr"/>
      <c r="F17" s="5" t="inlineStr"/>
      <c r="G17" s="3" t="inlineStr">
        <is>
          <t>Research partner, evaluator, publication, or working paper</t>
        </is>
      </c>
      <c r="H17" s="5" t="inlineStr"/>
    </row>
    <row r="18" ht="35" customHeight="1">
      <c r="A18" s="7" t="inlineStr">
        <is>
          <t>IMPACT</t>
        </is>
      </c>
      <c r="B18" s="3" t="inlineStr">
        <is>
          <t>Impact closes money</t>
        </is>
      </c>
      <c r="C18" s="4" t="inlineStr">
        <is>
          <t>Not Started</t>
        </is>
      </c>
      <c r="D18" s="4" t="inlineStr">
        <is>
          <t>High</t>
        </is>
      </c>
      <c r="E18" s="5" t="inlineStr"/>
      <c r="F18" s="5" t="inlineStr"/>
      <c r="G18" s="3" t="inlineStr">
        <is>
          <t>Data directly closes funding deals</t>
        </is>
      </c>
      <c r="H18" s="5" t="inlineStr"/>
    </row>
  </sheetData>
  <dataValidations count="2">
    <dataValidation sqref="C2 C3 C4 C5 C6 C8 C9 C10 C11 C12 C14 C15 C16 C17 C18" showDropDown="0" showInputMessage="0" showErrorMessage="0" allowBlank="1" errorTitle="Invalid Status" error="Please select from dropdown" type="list">
      <formula1>"Not Started,In Progress,Done"</formula1>
    </dataValidation>
    <dataValidation sqref="D2 D3 D4 D5 D6 D8 D9 D10 D11 D12 D14 D15 D16 D17 D1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 ht="40" customHeight="1">
      <c r="A1" s="8" t="inlineStr">
        <is>
          <t>PORTFOLIO WINS DASHBOARD</t>
        </is>
      </c>
    </row>
    <row r="2">
      <c r="A2" s="9" t="inlineStr">
        <is>
          <t>Last Updated: February 02, 2026</t>
        </is>
      </c>
    </row>
    <row r="4">
      <c r="A4" s="10" t="inlineStr">
        <is>
          <t>PROGRESS SUMMARY</t>
        </is>
      </c>
    </row>
    <row r="6">
      <c r="A6" s="11" t="inlineStr">
        <is>
          <t>Category</t>
        </is>
      </c>
      <c r="B6" s="11" t="inlineStr">
        <is>
          <t>Done</t>
        </is>
      </c>
      <c r="C6" s="11" t="inlineStr">
        <is>
          <t>In Progress</t>
        </is>
      </c>
      <c r="D6" s="11" t="inlineStr">
        <is>
          <t>Not Started</t>
        </is>
      </c>
      <c r="E6" s="11" t="inlineStr">
        <is>
          <t>Total</t>
        </is>
      </c>
      <c r="F6" s="11" t="inlineStr">
        <is>
          <t>% Complete</t>
        </is>
      </c>
    </row>
    <row r="7">
      <c r="A7" s="12" t="inlineStr">
        <is>
          <t>FUNDRAISING</t>
        </is>
      </c>
      <c r="B7">
        <f>COUNTIFS(Tracker!A:A,"FUNDRAISING",Tracker!C:C,"Done")</f>
        <v/>
      </c>
      <c r="C7">
        <f>COUNTIFS(Tracker!A:A,"FUNDRAISING",Tracker!C:C,"In Progress")</f>
        <v/>
      </c>
      <c r="D7">
        <f>COUNTIFS(Tracker!A:A,"FUNDRAISING",Tracker!C:C,"Not Started")</f>
        <v/>
      </c>
      <c r="E7">
        <f>COUNTIF(Tracker!A:A,"FUNDRAISING")</f>
        <v/>
      </c>
      <c r="F7" s="13">
        <f>IF(E7&gt;0,B7/E7,0)</f>
        <v/>
      </c>
    </row>
    <row r="8">
      <c r="A8" s="12" t="inlineStr">
        <is>
          <t>POLICY</t>
        </is>
      </c>
      <c r="B8">
        <f>COUNTIFS(Tracker!A:A,"POLICY",Tracker!C:C,"Done")</f>
        <v/>
      </c>
      <c r="C8">
        <f>COUNTIFS(Tracker!A:A,"POLICY",Tracker!C:C,"In Progress")</f>
        <v/>
      </c>
      <c r="D8">
        <f>COUNTIFS(Tracker!A:A,"POLICY",Tracker!C:C,"Not Started")</f>
        <v/>
      </c>
      <c r="E8">
        <f>COUNTIF(Tracker!A:A,"POLICY")</f>
        <v/>
      </c>
      <c r="F8" s="13">
        <f>IF(E8&gt;0,B8/E8,0)</f>
        <v/>
      </c>
    </row>
    <row r="9">
      <c r="A9" s="12" t="inlineStr">
        <is>
          <t>IMPACT</t>
        </is>
      </c>
      <c r="B9">
        <f>COUNTIFS(Tracker!A:A,"IMPACT",Tracker!C:C,"Done")</f>
        <v/>
      </c>
      <c r="C9">
        <f>COUNTIFS(Tracker!A:A,"IMPACT",Tracker!C:C,"In Progress")</f>
        <v/>
      </c>
      <c r="D9">
        <f>COUNTIFS(Tracker!A:A,"IMPACT",Tracker!C:C,"Not Started")</f>
        <v/>
      </c>
      <c r="E9">
        <f>COUNTIF(Tracker!A:A,"IMPACT")</f>
        <v/>
      </c>
      <c r="F9" s="13">
        <f>IF(E9&gt;0,B9/E9,0)</f>
        <v/>
      </c>
    </row>
    <row r="10">
      <c r="A10" s="12" t="inlineStr">
        <is>
          <t>TOTAL</t>
        </is>
      </c>
      <c r="B10">
        <f>SUM(B7:B9)</f>
        <v/>
      </c>
      <c r="C10">
        <f>SUM(C7:C9)</f>
        <v/>
      </c>
      <c r="D10">
        <f>SUM(D7:D9)</f>
        <v/>
      </c>
      <c r="E10">
        <f>SUM(E7:E9)</f>
        <v/>
      </c>
      <c r="F10" s="13">
        <f>IF(E10&gt;0,B10/E10,0)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4" t="inlineStr">
        <is>
          <t>HOW TO USE THIS TRACKER</t>
        </is>
      </c>
    </row>
    <row r="3">
      <c r="A3" s="14" t="inlineStr">
        <is>
          <t>1. UPDATING STATUS</t>
        </is>
      </c>
      <c r="B3" t="inlineStr">
        <is>
          <t>Go to Tracker sheet → Click Status cell → Select from dropdown</t>
        </is>
      </c>
    </row>
    <row r="4">
      <c r="B4" t="inlineStr">
        <is>
          <t>Options: Not Started, In Progress, Done</t>
        </is>
      </c>
    </row>
    <row r="6">
      <c r="A6" s="14" t="inlineStr">
        <is>
          <t>2. ADDING NEW ITEMS</t>
        </is>
      </c>
      <c r="B6" t="inlineStr">
        <is>
          <t>Insert a new row in the Tracker sheet</t>
        </is>
      </c>
    </row>
    <row r="7">
      <c r="B7" t="inlineStr">
        <is>
          <t>Copy the format from an existing row</t>
        </is>
      </c>
    </row>
    <row r="8">
      <c r="B8" t="inlineStr">
        <is>
          <t>Make sure to set the Category correctly</t>
        </is>
      </c>
    </row>
    <row r="10">
      <c r="A10" s="14" t="inlineStr">
        <is>
          <t>3. VIEWING PROGRESS</t>
        </is>
      </c>
      <c r="B10" t="inlineStr">
        <is>
          <t>Go to Dashboard sheet</t>
        </is>
      </c>
    </row>
    <row r="11">
      <c r="B11" t="inlineStr">
        <is>
          <t>Charts and percentages update automatically</t>
        </is>
      </c>
    </row>
    <row r="13">
      <c r="A13" s="14" t="inlineStr">
        <is>
          <t>4. ADDING EVIDENCE</t>
        </is>
      </c>
      <c r="B13" t="inlineStr">
        <is>
          <t>Use the Evidence column for links to documents, data, etc.</t>
        </is>
      </c>
    </row>
    <row r="15">
      <c r="A15" s="14" t="inlineStr">
        <is>
          <t>5. SYNCING WITH CLAUDE</t>
        </is>
      </c>
      <c r="B15" t="inlineStr">
        <is>
          <t>Export this sheet as CSV periodically</t>
        </is>
      </c>
    </row>
    <row r="16">
      <c r="B16" t="inlineStr">
        <is>
          <t>Share updates in conversation</t>
        </is>
      </c>
    </row>
    <row r="17">
      <c r="B17" t="inlineStr">
        <is>
          <t>Or paste the Tracker sheet contents</t>
        </is>
      </c>
    </row>
    <row r="19">
      <c r="A19" s="14" t="inlineStr">
        <is>
          <t>TIPS</t>
        </is>
      </c>
    </row>
    <row r="20">
      <c r="B20" t="inlineStr">
        <is>
          <t>- Update the 'Updated' column when you make changes</t>
        </is>
      </c>
    </row>
    <row r="21">
      <c r="B21" t="inlineStr">
        <is>
          <t>- Use Notes for context and next steps</t>
        </is>
      </c>
    </row>
    <row r="22">
      <c r="B22" t="inlineStr">
        <is>
          <t>- High priority items should be tackled first</t>
        </is>
      </c>
    </row>
    <row r="23">
      <c r="B23" t="inlineStr">
        <is>
          <t>- Review weekly with Claude for accountability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2026-02-02T06:46:42Z</dcterms:created>
  <dcterms:modified xmlns:dcterms="http://purl.org/dc/terms/" xmlns:xsi="http://www.w3.org/2001/XMLSchema-instance" xsi:type="dcterms:W3CDTF">2026-02-02T06:46:42Z</dcterms:modified>
</cp:coreProperties>
</file>